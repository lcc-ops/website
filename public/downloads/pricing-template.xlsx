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B3B3B"/>
      </patternFill>
    </fill>
    <fill>
      <patternFill patternType="solid">
        <fgColor rgb="005A5A5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32" customWidth="1" min="11" max="11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Pricing Model — SKU Level</t>
        </is>
      </c>
    </row>
    <row r="2">
      <c r="A2" s="2" t="inlineStr">
        <is>
          <t>Fill in B/C/D/... cells. Read-only formulas in M–P. Currency: USD.</t>
        </is>
      </c>
    </row>
    <row r="4" ht="32" customHeight="1">
      <c r="A4" s="3" t="inlineStr">
        <is>
          <t>SKU</t>
        </is>
      </c>
      <c r="B4" s="3" t="inlineStr">
        <is>
          <t>COGS</t>
        </is>
      </c>
      <c r="C4" s="3" t="inlineStr">
        <is>
          <t>Inbound (per unit)</t>
        </is>
      </c>
      <c r="D4" s="3" t="inlineStr">
        <is>
          <t>Outbound (per unit)</t>
        </is>
      </c>
      <c r="E4" s="3" t="inlineStr">
        <is>
          <t>Platform fee %</t>
        </is>
      </c>
      <c r="F4" s="3" t="inlineStr">
        <is>
          <t>Payment fee %</t>
        </is>
      </c>
      <c r="G4" s="3" t="inlineStr">
        <is>
          <t>Target margin %</t>
        </is>
      </c>
      <c r="H4" s="3" t="inlineStr">
        <is>
          <t>Refund reserve %</t>
        </is>
      </c>
      <c r="I4" s="3" t="inlineStr">
        <is>
          <t>Ad % of revenue</t>
        </is>
      </c>
      <c r="J4" s="3" t="inlineStr">
        <is>
          <t>Other fixed cost</t>
        </is>
      </c>
      <c r="K4" s="3" t="inlineStr">
        <is>
          <t>Notes</t>
        </is>
      </c>
      <c r="M4" s="4" t="inlineStr">
        <is>
          <t>Sum cost/unit</t>
        </is>
      </c>
      <c r="N4" s="4" t="inlineStr">
        <is>
          <t>Variable cost %</t>
        </is>
      </c>
      <c r="O4" s="4" t="inlineStr">
        <is>
          <t>Suggested price</t>
        </is>
      </c>
      <c r="P4" s="4" t="inlineStr">
        <is>
          <t>Break-even price</t>
        </is>
      </c>
      <c r="Q4" s="4" t="inlineStr">
        <is>
          <t>Net profit/unit</t>
        </is>
      </c>
    </row>
    <row r="5">
      <c r="A5" s="5" t="inlineStr">
        <is>
          <t>SKU-001</t>
        </is>
      </c>
      <c r="B5" s="6" t="n">
        <v>4.5</v>
      </c>
      <c r="C5" s="6" t="n">
        <v>1.2</v>
      </c>
      <c r="D5" s="6" t="n">
        <v>3.8</v>
      </c>
      <c r="E5" s="6" t="n">
        <v>0.06</v>
      </c>
      <c r="F5" s="6" t="n">
        <v>0.029</v>
      </c>
      <c r="G5" s="6" t="n">
        <v>0.25</v>
      </c>
      <c r="H5" s="6" t="n">
        <v>0.03</v>
      </c>
      <c r="I5" s="6" t="n">
        <v>0.15</v>
      </c>
      <c r="J5" s="6" t="n">
        <v>0.1</v>
      </c>
      <c r="K5" s="7" t="inlineStr">
        <is>
          <t>Wireless earbuds, AliExpress → US</t>
        </is>
      </c>
      <c r="M5" s="8">
        <f>B5+C5+D5+J5</f>
        <v/>
      </c>
      <c r="N5" s="9">
        <f>E5+F5+H5+I5</f>
        <v/>
      </c>
      <c r="O5" s="8">
        <f>IFERROR(M5/(1-N5-G5),0)</f>
        <v/>
      </c>
      <c r="P5" s="8">
        <f>IFERROR(M5/(1-N5),0)</f>
        <v/>
      </c>
      <c r="Q5" s="8">
        <f>O5-M5-O5*N5</f>
        <v/>
      </c>
    </row>
    <row r="6">
      <c r="A6" s="5" t="inlineStr">
        <is>
          <t>SKU-002</t>
        </is>
      </c>
      <c r="B6" s="6" t="n">
        <v>7.8</v>
      </c>
      <c r="C6" s="6" t="n">
        <v>1.5</v>
      </c>
      <c r="D6" s="6" t="n">
        <v>4.2</v>
      </c>
      <c r="E6" s="6" t="n">
        <v>0.06</v>
      </c>
      <c r="F6" s="6" t="n">
        <v>0.029</v>
      </c>
      <c r="G6" s="6" t="n">
        <v>0.3</v>
      </c>
      <c r="H6" s="6" t="n">
        <v>0.04</v>
      </c>
      <c r="I6" s="6" t="n">
        <v>0.2</v>
      </c>
      <c r="J6" s="6" t="n">
        <v>0.2</v>
      </c>
      <c r="K6" s="7" t="inlineStr">
        <is>
          <t>Phone case, China Post e-packet</t>
        </is>
      </c>
      <c r="M6" s="8">
        <f>B6+C6+D6+J6</f>
        <v/>
      </c>
      <c r="N6" s="9">
        <f>E6+F6+H6+I6</f>
        <v/>
      </c>
      <c r="O6" s="8">
        <f>IFERROR(M6/(1-N6-G6),0)</f>
        <v/>
      </c>
      <c r="P6" s="8">
        <f>IFERROR(M6/(1-N6),0)</f>
        <v/>
      </c>
      <c r="Q6" s="8">
        <f>O6-M6-O6*N6</f>
        <v/>
      </c>
    </row>
    <row r="7">
      <c r="A7" s="5" t="inlineStr">
        <is>
          <t>SKU-003</t>
        </is>
      </c>
      <c r="B7" s="6" t="n">
        <v>2.1</v>
      </c>
      <c r="C7" s="6" t="n">
        <v>0.9</v>
      </c>
      <c r="D7" s="6" t="n">
        <v>2.6</v>
      </c>
      <c r="E7" s="6" t="n">
        <v>0.1</v>
      </c>
      <c r="F7" s="6" t="n">
        <v>0.029</v>
      </c>
      <c r="G7" s="6" t="n">
        <v>0.2</v>
      </c>
      <c r="H7" s="6" t="n">
        <v>0.05</v>
      </c>
      <c r="I7" s="6" t="n">
        <v>0.1</v>
      </c>
      <c r="J7" s="6" t="n">
        <v>0.05</v>
      </c>
      <c r="K7" s="7" t="inlineStr">
        <is>
          <t>Bestseller T-shirt, FBA</t>
        </is>
      </c>
      <c r="M7" s="8">
        <f>B7+C7+D7+J7</f>
        <v/>
      </c>
      <c r="N7" s="9">
        <f>E7+F7+H7+I7</f>
        <v/>
      </c>
      <c r="O7" s="8">
        <f>IFERROR(M7/(1-N7-G7),0)</f>
        <v/>
      </c>
      <c r="P7" s="8">
        <f>IFERROR(M7/(1-N7),0)</f>
        <v/>
      </c>
      <c r="Q7" s="8">
        <f>O7-M7-O7*N7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0" t="inlineStr">
        <is>
          <t>Field</t>
        </is>
      </c>
      <c r="B1" s="10" t="inlineStr">
        <is>
          <t>Meaning</t>
        </is>
      </c>
    </row>
    <row r="2">
      <c r="A2" s="11" t="inlineStr">
        <is>
          <t>COGS</t>
        </is>
      </c>
      <c r="B2" t="inlineStr">
        <is>
          <t>Product unit cost. Excludes shipping.</t>
        </is>
      </c>
    </row>
    <row r="3">
      <c r="A3" s="11" t="inlineStr">
        <is>
          <t>Inbound</t>
        </is>
      </c>
      <c r="B3" t="inlineStr">
        <is>
          <t>Per-unit cost from factory to your warehouse (or 3PL).</t>
        </is>
      </c>
    </row>
    <row r="4">
      <c r="A4" s="11" t="inlineStr">
        <is>
          <t>Outbound</t>
        </is>
      </c>
      <c r="B4" t="inlineStr">
        <is>
          <t>Per-unit last-mile cost to the customer.</t>
        </is>
      </c>
    </row>
    <row r="5">
      <c r="A5" s="11" t="inlineStr">
        <is>
          <t>Platform fee %</t>
        </is>
      </c>
      <c r="B5" t="inlineStr">
        <is>
          <t>Marketplace commission (Shopify Payments excluded).</t>
        </is>
      </c>
    </row>
    <row r="6">
      <c r="A6" s="11" t="inlineStr">
        <is>
          <t>Payment fee %</t>
        </is>
      </c>
      <c r="B6" t="inlineStr">
        <is>
          <t>Stripe/PayPal per-transaction rate.</t>
        </is>
      </c>
    </row>
    <row r="7">
      <c r="A7" s="11" t="inlineStr">
        <is>
          <t>Target margin %</t>
        </is>
      </c>
      <c r="B7" t="inlineStr">
        <is>
          <t>Net profit as % of revenue. Pre-tax.</t>
        </is>
      </c>
    </row>
    <row r="8">
      <c r="A8" s="11" t="inlineStr">
        <is>
          <t>Refund reserve %</t>
        </is>
      </c>
      <c r="B8" t="inlineStr">
        <is>
          <t>Expected refunds as % of revenue.</t>
        </is>
      </c>
    </row>
    <row r="9">
      <c r="A9" s="11" t="inlineStr">
        <is>
          <t>Ad % of revenue</t>
        </is>
      </c>
      <c r="B9" t="inlineStr">
        <is>
          <t>Ad spend target ÷ revenue.</t>
        </is>
      </c>
    </row>
    <row r="10">
      <c r="A10" s="11" t="inlineStr">
        <is>
          <t>Other fixed cost</t>
        </is>
      </c>
      <c r="B10" t="inlineStr">
        <is>
          <t>Packaging, insert, storage amortized per unit.</t>
        </is>
      </c>
    </row>
    <row r="11">
      <c r="A11" s="11" t="inlineStr">
        <is>
          <t>Suggested price</t>
        </is>
      </c>
      <c r="B11" t="inlineStr">
        <is>
          <t>Price that hits target margin given variable cost %.</t>
        </is>
      </c>
    </row>
    <row r="12">
      <c r="A12" s="11" t="inlineStr">
        <is>
          <t>Break-even price</t>
        </is>
      </c>
      <c r="B12" t="inlineStr">
        <is>
          <t>Price at which net profit =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What this template does NOT cover</t>
        </is>
      </c>
    </row>
    <row r="3" ht="36" customHeight="1">
      <c r="A3" s="13" t="inlineStr">
        <is>
          <t>• FX conversion. All numbers in USD. If your revenue is in EUR/GBP, convert at the rate you actually receive (after FX margin).</t>
        </is>
      </c>
    </row>
    <row r="4" ht="36" customHeight="1">
      <c r="A4" s="13" t="inlineStr">
        <is>
          <t>• Inventory carrying cost. Add if you hold &gt; 60 days of stock.</t>
        </is>
      </c>
    </row>
    <row r="5" ht="36" customHeight="1">
      <c r="A5" s="13" t="inlineStr">
        <is>
          <t>• Returns logistics cost. Refund reserve % is revenue-side; add return shipping as a separate per-unit cost.</t>
        </is>
      </c>
    </row>
    <row r="6" ht="36" customHeight="1">
      <c r="A6" s="13" t="inlineStr">
        <is>
          <t>• Tax. Sales tax / VAT not subtracted here. Apply separately on the suggested price.</t>
        </is>
      </c>
    </row>
    <row r="7" ht="36" customHeight="1">
      <c r="A7" s="13" t="inlineStr">
        <is>
          <t>• Subscription / SaaS tools (Klaviyo, AppSumo apps). Add as monthly fixed ÷ monthly units.</t>
        </is>
      </c>
    </row>
    <row r="8" ht="36" customHeight="1">
      <c r="A8" s="13" t="inlineStr">
        <is>
          <t>• Per-SKU shipping discount tiers. Outbound cost should already reflect negotiated rates.</t>
        </is>
      </c>
    </row>
    <row r="9" ht="36" customHeight="1">
      <c r="A9" s="13" t="inlineStr">
        <is>
          <t>• Promo / discount campaigns. If you run 20% off, the realized price is O * 0.8; rerun the formula at the new price.</t>
        </is>
      </c>
    </row>
    <row r="10" ht="36" customHeight="1">
      <c r="A10" s="13" t="inlineStr">
        <is>
          <t>• Break-even is unit economics only. Cash-flow break-even requires working-capital timing.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2026-07-01T18:10:46Z</dcterms:created>
  <dcterms:modified xmlns:dcterms="http://purl.org/dc/terms/" xmlns:xsi="http://www.w3.org/2001/XMLSchema-instance" xsi:type="dcterms:W3CDTF">2026-07-01T18:10:46Z</dcterms:modified>
</cp:coreProperties>
</file>