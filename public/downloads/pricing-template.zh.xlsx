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表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未覆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B7791F"/>
    </font>
    <font>
      <b val="1"/>
      <color rgb="002F855A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C6F6D5"/>
      </patternFill>
    </fill>
    <fill>
      <patternFill patternType="solid">
        <fgColor rgb="003B3B3B"/>
      </patternFill>
    </fill>
    <fill>
      <patternFill patternType="solid">
        <fgColor rgb="005A5A5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wrapText="1"/>
    </xf>
    <xf numFmtId="0" fontId="5" fillId="5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164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pivotButton="0" quotePrefix="0" xfId="0"/>
    <xf numFmtId="165" fontId="0" fillId="3" borderId="0" pivotButton="0" quotePrefix="0" xfId="0"/>
    <xf numFmtId="0" fontId="0" fillId="2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3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4" customWidth="1" min="10" max="10"/>
    <col width="32" customWidth="1" min="11" max="11"/>
    <col width="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定价模型 — 按 SKU</t>
        </is>
      </c>
    </row>
    <row r="2">
      <c r="A2" s="2" t="inlineStr">
        <is>
          <t>黄色格子 = 你要填的。绿色格子 = 自动算的公式，不要改。币种：人民币（含税）。</t>
        </is>
      </c>
    </row>
    <row r="3">
      <c r="A3" s="3" t="inlineStr">
        <is>
          <t>↓ 输入区 ↓</t>
        </is>
      </c>
      <c r="L3" s="4" t="inlineStr">
        <is>
          <t>↓ 公式区（只读）↓</t>
        </is>
      </c>
    </row>
    <row r="4" ht="32" customHeight="1">
      <c r="A4" s="5" t="inlineStr">
        <is>
          <t>SKU</t>
        </is>
      </c>
      <c r="B4" s="5" t="inlineStr">
        <is>
          <t>采购成本</t>
        </is>
      </c>
      <c r="C4" s="5" t="inlineStr">
        <is>
          <t>头程/件</t>
        </is>
      </c>
      <c r="D4" s="5" t="inlineStr">
        <is>
          <t>尾程/件</t>
        </is>
      </c>
      <c r="E4" s="5" t="inlineStr">
        <is>
          <t>平台费率%</t>
        </is>
      </c>
      <c r="F4" s="5" t="inlineStr">
        <is>
          <t>收款费率%</t>
        </is>
      </c>
      <c r="G4" s="5" t="inlineStr">
        <is>
          <t>目标利润率%</t>
        </is>
      </c>
      <c r="H4" s="5" t="inlineStr">
        <is>
          <t>退款准备金%</t>
        </is>
      </c>
      <c r="I4" s="5" t="inlineStr">
        <is>
          <t>广告占比%</t>
        </is>
      </c>
      <c r="J4" s="5" t="inlineStr">
        <is>
          <t>其他固定成本/件</t>
        </is>
      </c>
      <c r="K4" s="5" t="inlineStr">
        <is>
          <t>备注</t>
        </is>
      </c>
      <c r="M4" s="6" t="inlineStr">
        <is>
          <t>总成本/件</t>
        </is>
      </c>
      <c r="N4" s="6" t="inlineStr">
        <is>
          <t>变动成本%</t>
        </is>
      </c>
      <c r="O4" s="6" t="inlineStr">
        <is>
          <t>建议售价</t>
        </is>
      </c>
      <c r="P4" s="6" t="inlineStr">
        <is>
          <t>盈亏平衡价</t>
        </is>
      </c>
      <c r="Q4" s="6" t="inlineStr">
        <is>
          <t>单件净利</t>
        </is>
      </c>
    </row>
    <row r="5">
      <c r="A5" s="7" t="inlineStr">
        <is>
          <t>SKU-001</t>
        </is>
      </c>
      <c r="B5" s="8" t="n">
        <v>18</v>
      </c>
      <c r="C5" s="8" t="n">
        <v>4.5</v>
      </c>
      <c r="D5" s="8" t="n">
        <v>12</v>
      </c>
      <c r="E5" s="8" t="n">
        <v>0.06</v>
      </c>
      <c r="F5" s="8" t="n">
        <v>0.01</v>
      </c>
      <c r="G5" s="8" t="n">
        <v>0.25</v>
      </c>
      <c r="H5" s="8" t="n">
        <v>0.03</v>
      </c>
      <c r="I5" s="8" t="n">
        <v>0.15</v>
      </c>
      <c r="J5" s="8" t="n">
        <v>0.5</v>
      </c>
      <c r="K5" s="9" t="inlineStr">
        <is>
          <t>无线耳机，AliExpress → 抖店</t>
        </is>
      </c>
      <c r="M5" s="10">
        <f>B5+C5+D5+J5</f>
        <v/>
      </c>
      <c r="N5" s="11">
        <f>E5+F5+H5+I5</f>
        <v/>
      </c>
      <c r="O5" s="10">
        <f>IFERROR(M5/(1-N5-G5),0)</f>
        <v/>
      </c>
      <c r="P5" s="10">
        <f>IFERROR(M5/(1-N5),0)</f>
        <v/>
      </c>
      <c r="Q5" s="10">
        <f>O5-M5-O5*N5</f>
        <v/>
      </c>
    </row>
    <row r="6">
      <c r="A6" s="7" t="inlineStr">
        <is>
          <t>SKU-002</t>
        </is>
      </c>
      <c r="B6" s="8" t="n">
        <v>28</v>
      </c>
      <c r="C6" s="8" t="n">
        <v>5.5</v>
      </c>
      <c r="D6" s="8" t="n">
        <v>15</v>
      </c>
      <c r="E6" s="8" t="n">
        <v>0.05</v>
      </c>
      <c r="F6" s="8" t="n">
        <v>0.01</v>
      </c>
      <c r="G6" s="8" t="n">
        <v>0.3</v>
      </c>
      <c r="H6" s="8" t="n">
        <v>0.04</v>
      </c>
      <c r="I6" s="8" t="n">
        <v>0.2</v>
      </c>
      <c r="J6" s="8" t="n">
        <v>0.8</v>
      </c>
      <c r="K6" s="9" t="inlineStr">
        <is>
          <t>手机壳，义乌直发 → Shopee</t>
        </is>
      </c>
      <c r="M6" s="10">
        <f>B6+C6+D6+J6</f>
        <v/>
      </c>
      <c r="N6" s="11">
        <f>E6+F6+H6+I6</f>
        <v/>
      </c>
      <c r="O6" s="10">
        <f>IFERROR(M6/(1-N6-G6),0)</f>
        <v/>
      </c>
      <c r="P6" s="10">
        <f>IFERROR(M6/(1-N6),0)</f>
        <v/>
      </c>
      <c r="Q6" s="10">
        <f>O6-M6-O6*N6</f>
        <v/>
      </c>
    </row>
    <row r="7">
      <c r="A7" s="7" t="inlineStr">
        <is>
          <t>SKU-003</t>
        </is>
      </c>
      <c r="B7" s="8" t="n">
        <v>8.5</v>
      </c>
      <c r="C7" s="8" t="n">
        <v>3</v>
      </c>
      <c r="D7" s="8" t="n">
        <v>8</v>
      </c>
      <c r="E7" s="8" t="n">
        <v>0.05</v>
      </c>
      <c r="F7" s="8" t="n">
        <v>0.01</v>
      </c>
      <c r="G7" s="8" t="n">
        <v>0.2</v>
      </c>
      <c r="H7" s="8" t="n">
        <v>0.05</v>
      </c>
      <c r="I7" s="8" t="n">
        <v>0.1</v>
      </c>
      <c r="J7" s="8" t="n">
        <v>0.3</v>
      </c>
      <c r="K7" s="9" t="inlineStr">
        <is>
          <t>爆款 T 恤，独立站 + 海外仓</t>
        </is>
      </c>
      <c r="M7" s="10">
        <f>B7+C7+D7+J7</f>
        <v/>
      </c>
      <c r="N7" s="11">
        <f>E7+F7+H7+I7</f>
        <v/>
      </c>
      <c r="O7" s="10">
        <f>IFERROR(M7/(1-N7-G7),0)</f>
        <v/>
      </c>
      <c r="P7" s="10">
        <f>IFERROR(M7/(1-N7),0)</f>
        <v/>
      </c>
      <c r="Q7" s="10">
        <f>O7-M7-O7*N7</f>
        <v/>
      </c>
    </row>
    <row r="8"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M8" s="10">
        <f>B8+C8+D8+J8</f>
        <v/>
      </c>
      <c r="N8" s="11">
        <f>E8+F8+H8+I8</f>
        <v/>
      </c>
      <c r="O8" s="10">
        <f>IFERROR(M8/(1-N8-G8),0)</f>
        <v/>
      </c>
      <c r="P8" s="10">
        <f>IFERROR(M8/(1-N8),0)</f>
        <v/>
      </c>
      <c r="Q8" s="10">
        <f>O8-M8-O8*N8</f>
        <v/>
      </c>
    </row>
    <row r="9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M9" s="10">
        <f>B9+C9+D9+J9</f>
        <v/>
      </c>
      <c r="N9" s="11">
        <f>E9+F9+H9+I9</f>
        <v/>
      </c>
      <c r="O9" s="10">
        <f>IFERROR(M9/(1-N9-G9),0)</f>
        <v/>
      </c>
      <c r="P9" s="10">
        <f>IFERROR(M9/(1-N9),0)</f>
        <v/>
      </c>
      <c r="Q9" s="10">
        <f>O9-M9-O9*N9</f>
        <v/>
      </c>
    </row>
    <row r="10"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M10" s="10">
        <f>B10+C10+D10+J10</f>
        <v/>
      </c>
      <c r="N10" s="11">
        <f>E10+F10+H10+I10</f>
        <v/>
      </c>
      <c r="O10" s="10">
        <f>IFERROR(M10/(1-N10-G10),0)</f>
        <v/>
      </c>
      <c r="P10" s="10">
        <f>IFERROR(M10/(1-N10),0)</f>
        <v/>
      </c>
      <c r="Q10" s="10">
        <f>O10-M10-O10*N10</f>
        <v/>
      </c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M11" s="10">
        <f>B11+C11+D11+J11</f>
        <v/>
      </c>
      <c r="N11" s="11">
        <f>E11+F11+H11+I11</f>
        <v/>
      </c>
      <c r="O11" s="10">
        <f>IFERROR(M11/(1-N11-G11),0)</f>
        <v/>
      </c>
      <c r="P11" s="10">
        <f>IFERROR(M11/(1-N11),0)</f>
        <v/>
      </c>
      <c r="Q11" s="10">
        <f>O11-M11-O11*N11</f>
        <v/>
      </c>
    </row>
    <row r="12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M12" s="10">
        <f>B12+C12+D12+J12</f>
        <v/>
      </c>
      <c r="N12" s="11">
        <f>E12+F12+H12+I12</f>
        <v/>
      </c>
      <c r="O12" s="10">
        <f>IFERROR(M12/(1-N12-G12),0)</f>
        <v/>
      </c>
      <c r="P12" s="10">
        <f>IFERROR(M12/(1-N12),0)</f>
        <v/>
      </c>
      <c r="Q12" s="10">
        <f>O12-M12-O12*N12</f>
        <v/>
      </c>
    </row>
  </sheetData>
  <mergeCells count="4">
    <mergeCell ref="A2:Q2"/>
    <mergeCell ref="A1:Q1"/>
    <mergeCell ref="L3:Q3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3" t="inlineStr">
        <is>
          <t>字段</t>
        </is>
      </c>
      <c r="B1" s="13" t="inlineStr">
        <is>
          <t>含义</t>
        </is>
      </c>
    </row>
    <row r="2">
      <c r="A2" s="14" t="inlineStr">
        <is>
          <t>采购成本</t>
        </is>
      </c>
      <c r="B2" t="inlineStr">
        <is>
          <t>商品裸价，不含运费。</t>
        </is>
      </c>
    </row>
    <row r="3">
      <c r="A3" s="14" t="inlineStr">
        <is>
          <t>头程/件</t>
        </is>
      </c>
      <c r="B3" t="inlineStr">
        <is>
          <t>工厂到仓库（或 3PL）的单位成本。</t>
        </is>
      </c>
    </row>
    <row r="4">
      <c r="A4" s="14" t="inlineStr">
        <is>
          <t>尾程/件</t>
        </is>
      </c>
      <c r="B4" t="inlineStr">
        <is>
          <t>从仓库发到买家手上的单位成本。</t>
        </is>
      </c>
    </row>
    <row r="5">
      <c r="A5" s="14" t="inlineStr">
        <is>
          <t>平台费率%</t>
        </is>
      </c>
      <c r="B5" t="inlineStr">
        <is>
          <t>平台佣金（不含支付通道费）。</t>
        </is>
      </c>
    </row>
    <row r="6">
      <c r="A6" s="14" t="inlineStr">
        <is>
          <t>收款费率%</t>
        </is>
      </c>
      <c r="B6" t="inlineStr">
        <is>
          <t>支付通道单笔费率。</t>
        </is>
      </c>
    </row>
    <row r="7">
      <c r="A7" s="14" t="inlineStr">
        <is>
          <t>目标利润率%</t>
        </is>
      </c>
      <c r="B7" t="inlineStr">
        <is>
          <t>净利占营收比，未扣税。</t>
        </is>
      </c>
    </row>
    <row r="8">
      <c r="A8" s="14" t="inlineStr">
        <is>
          <t>退款准备金%</t>
        </is>
      </c>
      <c r="B8" t="inlineStr">
        <is>
          <t>预期退款占营收比。</t>
        </is>
      </c>
    </row>
    <row r="9">
      <c r="A9" s="14" t="inlineStr">
        <is>
          <t>广告占比%</t>
        </is>
      </c>
      <c r="B9" t="inlineStr">
        <is>
          <t>广告预算 ÷ 营收。</t>
        </is>
      </c>
    </row>
    <row r="10">
      <c r="A10" s="14" t="inlineStr">
        <is>
          <t>其他固定成本/件</t>
        </is>
      </c>
      <c r="B10" t="inlineStr">
        <is>
          <t>包材、插卡、仓储等按件摊销。</t>
        </is>
      </c>
    </row>
    <row r="11">
      <c r="A11" s="14" t="inlineStr">
        <is>
          <t>建议售价</t>
        </is>
      </c>
      <c r="B11" t="inlineStr">
        <is>
          <t>达到目标利润率时的售价。</t>
        </is>
      </c>
    </row>
    <row r="12">
      <c r="A12" s="14" t="inlineStr">
        <is>
          <t>盈亏平衡价</t>
        </is>
      </c>
      <c r="B12" t="inlineStr">
        <is>
          <t>净利 = 0 时的售价。</t>
        </is>
      </c>
    </row>
    <row r="13">
      <c r="A13" s="14" t="inlineStr">
        <is>
          <t>单件净利</t>
        </is>
      </c>
      <c r="B13" t="inlineStr">
        <is>
          <t>建议售价 − 所有成本（含变动费）。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本模板不覆盖什么</t>
        </is>
      </c>
    </row>
    <row r="3" ht="36" customHeight="1">
      <c r="A3" s="16" t="inlineStr">
        <is>
          <t>• 汇率换算。本表币种人民币。如果你的店铺收美元/欧元，先按实际结汇汇率换算（含点差损失）。</t>
        </is>
      </c>
    </row>
    <row r="4" ht="36" customHeight="1">
      <c r="A4" s="16" t="inlineStr">
        <is>
          <t>• 库存持有成本。库存超过 60 天要加仓储费。</t>
        </is>
      </c>
    </row>
    <row r="5" ht="36" customHeight="1">
      <c r="A5" s="16" t="inlineStr">
        <is>
          <t>• 退货物流成本。退款准备金是营收侧的；退货运费另算。</t>
        </is>
      </c>
    </row>
    <row r="6" ht="36" customHeight="1">
      <c r="A6" s="16" t="inlineStr">
        <is>
          <t>• 税费。增值税、消费税未扣。在建议售价基础上自行加价。</t>
        </is>
      </c>
    </row>
    <row r="7" ht="36" customHeight="1">
      <c r="A7" s="16" t="inlineStr">
        <is>
          <t>• 订阅型 SaaS（Klaviyo、各类插件）。按月摊到单件。</t>
        </is>
      </c>
    </row>
    <row r="8" ht="36" customHeight="1">
      <c r="A8" s="16" t="inlineStr">
        <is>
          <t>• 运费折扣梯度。尾程成本应已含协议价。</t>
        </is>
      </c>
    </row>
    <row r="9" ht="36" customHeight="1">
      <c r="A9" s="16" t="inlineStr">
        <is>
          <t>• 促销/折扣活动。大促 8 折时，实际售价 = O × 0.8，按新售价重算。</t>
        </is>
      </c>
    </row>
    <row r="10" ht="36" customHeight="1">
      <c r="A10" s="16" t="inlineStr">
        <is>
          <t>• 盈亏平衡只看单件经济。现金流平衡要算账期。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2026-07-01T19:07:05Z</dcterms:created>
  <dcterms:modified xmlns:dcterms="http://purl.org/dc/terms/" xmlns:xsi="http://www.w3.org/2001/XMLSchema-instance" xsi:type="dcterms:W3CDTF">2026-07-01T19:07:05Z</dcterms:modified>
</cp:coreProperties>
</file>